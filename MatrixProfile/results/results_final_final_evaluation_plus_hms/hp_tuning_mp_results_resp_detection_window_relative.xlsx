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nos\Downloads\Coding_final_asim\06 final results\"/>
    </mc:Choice>
  </mc:AlternateContent>
  <xr:revisionPtr revIDLastSave="0" documentId="13_ncr:1_{0F5719A1-FB57-43A4-9443-C9504BC36A31}" xr6:coauthVersionLast="47" xr6:coauthVersionMax="47" xr10:uidLastSave="{00000000-0000-0000-0000-000000000000}"/>
  <bookViews>
    <workbookView xWindow="5835" yWindow="8535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3" i="1"/>
  <c r="T2" i="1"/>
  <c r="Q4" i="1"/>
  <c r="Q3" i="1"/>
  <c r="Q2" i="1"/>
</calcChain>
</file>

<file path=xl/sharedStrings.xml><?xml version="1.0" encoding="utf-8"?>
<sst xmlns="http://schemas.openxmlformats.org/spreadsheetml/2006/main" count="30" uniqueCount="26">
  <si>
    <t>amount_of_annomalies_per_record</t>
  </si>
  <si>
    <t>anomaly_ratio</t>
  </si>
  <si>
    <t>batch_size_load</t>
  </si>
  <si>
    <t>downsample_freq</t>
  </si>
  <si>
    <t>max_gap_annos_in_sec</t>
  </si>
  <si>
    <t>n_cons</t>
  </si>
  <si>
    <t>window_size_sec</t>
  </si>
  <si>
    <t>pre_thresh_sec</t>
  </si>
  <si>
    <t>post_thresh_sec</t>
  </si>
  <si>
    <t>verbose</t>
  </si>
  <si>
    <t>DIR_preprocessed</t>
  </si>
  <si>
    <t>MPs_path</t>
  </si>
  <si>
    <t>test_loaded_recs</t>
  </si>
  <si>
    <t>test_loaded_recs_resp</t>
  </si>
  <si>
    <t>test_sensitivity</t>
  </si>
  <si>
    <t>test_false_alarms_per_hour</t>
  </si>
  <si>
    <t>test_resp_sensitivity</t>
  </si>
  <si>
    <t>test_resp_false_alarms_per_hour</t>
  </si>
  <si>
    <t>test_overview</t>
  </si>
  <si>
    <t>/home/swolf/asim_shared/preprocessed_data/downsample_freq=8,no_windows</t>
  </si>
  <si>
    <t>/home/swolf/asim_shared/results/MP/downsample_freq=8,no_windows/seq_len25sec</t>
  </si>
  <si>
    <t>{'# TP': 62, '# FP': 5125, '# Total seizures': 163}</t>
  </si>
  <si>
    <t>{'# TP': 160, '# FP': 37469, '# Total seizures': 163}</t>
  </si>
  <si>
    <t>{'# TP': 158, '# FP': 30651, '# Total seizures': 163}</t>
  </si>
  <si>
    <t>test_score</t>
  </si>
  <si>
    <t>test_resp_score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</si>
</sst>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2" fontId="0" fillId="2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L1" workbookViewId="0">
      <selection activeCell="R7" sqref="R7"/>
    </sheetView>
  </sheetViews>
  <sheetFormatPr baseColWidth="10" defaultColWidth="9.140625" defaultRowHeight="15" x14ac:dyDescent="0.25"/>
  <cols>
    <col min="14" max="14" width="21.28515625" bestFit="1" customWidth="1"/>
    <col min="15" max="15" width="14.5703125" bestFit="1" customWidth="1"/>
    <col min="16" max="16" width="26" bestFit="1" customWidth="1"/>
    <col min="17" max="17" width="26" customWidth="1"/>
    <col min="18" max="18" width="19.5703125" bestFit="1" customWidth="1"/>
    <col min="19" max="19" width="31" bestFit="1" customWidth="1"/>
    <col min="20" max="20" width="3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24</v>
      </c>
      <c r="R1" s="1" t="s">
        <v>16</v>
      </c>
      <c r="S1" s="1" t="s">
        <v>17</v>
      </c>
      <c r="T1" s="2" t="s">
        <v>25</v>
      </c>
      <c r="U1" s="1" t="s">
        <v>18</v>
      </c>
    </row>
    <row r="2" spans="1:21" x14ac:dyDescent="0.25">
      <c r="A2">
        <v>1500</v>
      </c>
      <c r="B2">
        <v>0.01</v>
      </c>
      <c r="C2">
        <v>100</v>
      </c>
      <c r="D2">
        <v>8</v>
      </c>
      <c r="E2">
        <v>30</v>
      </c>
      <c r="F2">
        <v>35</v>
      </c>
      <c r="G2">
        <v>25</v>
      </c>
      <c r="H2">
        <v>300</v>
      </c>
      <c r="I2">
        <v>180</v>
      </c>
      <c r="J2" t="b">
        <v>0</v>
      </c>
      <c r="K2" t="s">
        <v>19</v>
      </c>
      <c r="L2" t="s">
        <v>20</v>
      </c>
      <c r="M2">
        <v>739</v>
      </c>
      <c r="N2">
        <v>41</v>
      </c>
      <c r="O2" s="4">
        <v>0.38036809815950923</v>
      </c>
      <c r="P2" s="3">
        <v>1.9006113169505789</v>
      </c>
      <c r="Q2" s="5">
        <f>(O2*100)-0.4*P2</f>
        <v>37.276565289170691</v>
      </c>
      <c r="R2" s="4">
        <v>0.70731707317073167</v>
      </c>
      <c r="S2" s="3">
        <v>1.908911099750946</v>
      </c>
      <c r="T2" s="5">
        <f>(R2*100)-0.4*S2</f>
        <v>69.968142877172795</v>
      </c>
      <c r="U2" t="s">
        <v>21</v>
      </c>
    </row>
    <row r="3" spans="1:21" x14ac:dyDescent="0.25">
      <c r="A3">
        <v>1500</v>
      </c>
      <c r="B3">
        <v>0.06</v>
      </c>
      <c r="C3">
        <v>100</v>
      </c>
      <c r="D3">
        <v>8</v>
      </c>
      <c r="E3">
        <v>20</v>
      </c>
      <c r="F3">
        <v>1</v>
      </c>
      <c r="G3">
        <v>25</v>
      </c>
      <c r="H3">
        <v>300</v>
      </c>
      <c r="I3">
        <v>180</v>
      </c>
      <c r="J3" t="b">
        <v>0</v>
      </c>
      <c r="K3" t="s">
        <v>19</v>
      </c>
      <c r="L3" t="s">
        <v>20</v>
      </c>
      <c r="M3">
        <v>739</v>
      </c>
      <c r="N3">
        <v>41</v>
      </c>
      <c r="O3" s="4">
        <v>0.98159509202453987</v>
      </c>
      <c r="P3" s="3">
        <v>13.89541569459927</v>
      </c>
      <c r="Q3" s="5">
        <f t="shared" ref="Q3:Q4" si="0">(O3*100)-0.4*P3</f>
        <v>92.601342924614286</v>
      </c>
      <c r="R3" s="4">
        <v>1</v>
      </c>
      <c r="S3" s="3">
        <v>13.274589574501711</v>
      </c>
      <c r="T3" s="5">
        <f>(R3*100)-0.4*S3</f>
        <v>94.69016417019931</v>
      </c>
      <c r="U3" t="s">
        <v>22</v>
      </c>
    </row>
    <row r="4" spans="1:21" x14ac:dyDescent="0.25">
      <c r="A4">
        <v>1500</v>
      </c>
      <c r="B4">
        <v>0.06</v>
      </c>
      <c r="C4">
        <v>100</v>
      </c>
      <c r="D4">
        <v>8</v>
      </c>
      <c r="E4">
        <v>30</v>
      </c>
      <c r="F4">
        <v>1</v>
      </c>
      <c r="G4">
        <v>25</v>
      </c>
      <c r="H4">
        <v>300</v>
      </c>
      <c r="I4">
        <v>180</v>
      </c>
      <c r="J4" t="b">
        <v>0</v>
      </c>
      <c r="K4" t="s">
        <v>19</v>
      </c>
      <c r="L4" t="s">
        <v>20</v>
      </c>
      <c r="M4">
        <v>739</v>
      </c>
      <c r="N4">
        <v>41</v>
      </c>
      <c r="O4" s="4">
        <v>0.96932515337423308</v>
      </c>
      <c r="P4" s="3">
        <v>11.366953653824821</v>
      </c>
      <c r="Q4" s="5">
        <f t="shared" si="0"/>
        <v>92.385733875893379</v>
      </c>
      <c r="R4" s="4">
        <v>0.97560975609756095</v>
      </c>
      <c r="S4" s="3">
        <v>10.918407596057859</v>
      </c>
      <c r="T4" s="5">
        <f>(R4*100)-0.4*S4</f>
        <v>93.193612571332949</v>
      </c>
      <c r="U4" t="s">
        <v>23</v>
      </c>
    </row>
  </sheetData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Janosch Hagenbeck</cp:lastModifiedBy>
  <dcterms:created xsi:type="dcterms:W3CDTF">2025-10-26T17:50:56Z</dcterms:created>
  <dcterms:modified xsi:type="dcterms:W3CDTF">2025-10-26T20:51:35Z</dcterms:modified>
</cp:coreProperties>
</file>