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nos\Downloads\Coding_final_asim\06 final results\"/>
    </mc:Choice>
  </mc:AlternateContent>
  <xr:revisionPtr revIDLastSave="0" documentId="13_ncr:1_{593E5886-E898-46F0-A272-2E49D6951FDE}" xr6:coauthVersionLast="47" xr6:coauthVersionMax="47" xr10:uidLastSave="{00000000-0000-0000-0000-000000000000}"/>
  <bookViews>
    <workbookView xWindow="-1785" yWindow="183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3" i="1"/>
  <c r="T2" i="1"/>
  <c r="Q4" i="1"/>
  <c r="Q3" i="1"/>
  <c r="Q2" i="1"/>
</calcChain>
</file>

<file path=xl/sharedStrings.xml><?xml version="1.0" encoding="utf-8"?>
<sst xmlns="http://schemas.openxmlformats.org/spreadsheetml/2006/main" count="30" uniqueCount="26">
  <si>
    <t>amount_of_annomalies_per_record</t>
  </si>
  <si>
    <t>anomaly_ratio</t>
  </si>
  <si>
    <t>batch_size_load</t>
  </si>
  <si>
    <t>downsample_freq</t>
  </si>
  <si>
    <t>max_gap_annos_in_sec</t>
  </si>
  <si>
    <t>n_cons</t>
  </si>
  <si>
    <t>window_size_sec</t>
  </si>
  <si>
    <t>pre_thresh_sec</t>
  </si>
  <si>
    <t>post_thresh_sec</t>
  </si>
  <si>
    <t>verbose</t>
  </si>
  <si>
    <t>DIR_preprocessed</t>
  </si>
  <si>
    <t>MPs_path</t>
  </si>
  <si>
    <t>test_loaded_recs</t>
  </si>
  <si>
    <t>test_loaded_recs_resp</t>
  </si>
  <si>
    <t>test_sensitivity</t>
  </si>
  <si>
    <t>test_false_alarms_per_hour</t>
  </si>
  <si>
    <t>test_resp_sensitivity</t>
  </si>
  <si>
    <t>test_resp_false_alarms_per_hour</t>
  </si>
  <si>
    <t>test_overview</t>
  </si>
  <si>
    <t>/home/swolf/asim_shared/preprocessed_data/downsample_freq=8,no_windows</t>
  </si>
  <si>
    <t>/home/swolf/asim_shared/results/MP/downsample_freq=8,no_windows/seq_len25sec</t>
  </si>
  <si>
    <t>{'# TP': 32, '# FP': 5185, '# Total seizures': 163}</t>
  </si>
  <si>
    <t>{'# TP': 98, '# FP': 180127, '# Total seizures': 163}</t>
  </si>
  <si>
    <t>{'# TP': 83, '# FP': 59167, '# Total seizures': 163}</t>
  </si>
  <si>
    <t>test_score</t>
  </si>
  <si>
    <t>test_resp_score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</si>
</sst>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K1" workbookViewId="0">
      <selection activeCell="S9" sqref="S9"/>
    </sheetView>
  </sheetViews>
  <sheetFormatPr baseColWidth="10" defaultColWidth="9.140625" defaultRowHeight="15" x14ac:dyDescent="0.25"/>
  <cols>
    <col min="15" max="15" width="14.5703125" bestFit="1" customWidth="1"/>
    <col min="16" max="16" width="26" bestFit="1" customWidth="1"/>
    <col min="17" max="17" width="26" customWidth="1"/>
    <col min="18" max="18" width="19.5703125" bestFit="1" customWidth="1"/>
    <col min="19" max="19" width="31" bestFit="1" customWidth="1"/>
    <col min="20" max="20" width="3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24</v>
      </c>
      <c r="R1" s="1" t="s">
        <v>16</v>
      </c>
      <c r="S1" s="1" t="s">
        <v>17</v>
      </c>
      <c r="T1" s="2" t="s">
        <v>25</v>
      </c>
      <c r="U1" s="1" t="s">
        <v>18</v>
      </c>
    </row>
    <row r="2" spans="1:21" x14ac:dyDescent="0.25">
      <c r="A2">
        <v>1500</v>
      </c>
      <c r="B2">
        <v>0.01</v>
      </c>
      <c r="C2">
        <v>100</v>
      </c>
      <c r="D2">
        <v>8</v>
      </c>
      <c r="E2">
        <v>30</v>
      </c>
      <c r="F2">
        <v>35</v>
      </c>
      <c r="G2">
        <v>25</v>
      </c>
      <c r="H2">
        <v>0</v>
      </c>
      <c r="I2">
        <v>0</v>
      </c>
      <c r="J2" t="b">
        <v>0</v>
      </c>
      <c r="K2" t="s">
        <v>19</v>
      </c>
      <c r="L2" t="s">
        <v>20</v>
      </c>
      <c r="M2">
        <v>739</v>
      </c>
      <c r="N2">
        <v>41</v>
      </c>
      <c r="O2">
        <v>0.19631901840490801</v>
      </c>
      <c r="P2">
        <v>1.922862376270976</v>
      </c>
      <c r="Q2" s="3">
        <f>(O2*100)-0.4*P2</f>
        <v>18.862756889982411</v>
      </c>
      <c r="R2">
        <v>0.48780487804878048</v>
      </c>
      <c r="S2">
        <v>1.921726884240714</v>
      </c>
      <c r="T2" s="3">
        <f>(R2*100)-0.4*S2</f>
        <v>48.011797051181766</v>
      </c>
      <c r="U2" t="s">
        <v>21</v>
      </c>
    </row>
    <row r="3" spans="1:21" x14ac:dyDescent="0.25">
      <c r="A3">
        <v>1500</v>
      </c>
      <c r="B3">
        <v>0.06</v>
      </c>
      <c r="C3">
        <v>100</v>
      </c>
      <c r="D3">
        <v>8</v>
      </c>
      <c r="E3">
        <v>0.2</v>
      </c>
      <c r="F3">
        <v>1</v>
      </c>
      <c r="G3">
        <v>25</v>
      </c>
      <c r="H3">
        <v>0</v>
      </c>
      <c r="I3">
        <v>0</v>
      </c>
      <c r="J3" t="b">
        <v>0</v>
      </c>
      <c r="K3" t="s">
        <v>19</v>
      </c>
      <c r="L3" t="s">
        <v>20</v>
      </c>
      <c r="M3">
        <v>739</v>
      </c>
      <c r="N3">
        <v>41</v>
      </c>
      <c r="O3">
        <v>0.60122699386503065</v>
      </c>
      <c r="P3">
        <v>66.800276036752578</v>
      </c>
      <c r="Q3" s="3">
        <f t="shared" ref="Q3:Q4" si="0">(O3*100)-0.4*P3</f>
        <v>33.402588971802032</v>
      </c>
      <c r="R3">
        <v>0.90243902439024393</v>
      </c>
      <c r="S3">
        <v>65.622583690632652</v>
      </c>
      <c r="T3" s="3">
        <f>(R3*100)-0.4*S3</f>
        <v>63.994868962771335</v>
      </c>
      <c r="U3" t="s">
        <v>22</v>
      </c>
    </row>
    <row r="4" spans="1:21" x14ac:dyDescent="0.25">
      <c r="A4">
        <v>1500</v>
      </c>
      <c r="B4">
        <v>0.06</v>
      </c>
      <c r="C4">
        <v>100</v>
      </c>
      <c r="D4">
        <v>8</v>
      </c>
      <c r="E4">
        <v>5</v>
      </c>
      <c r="F4">
        <v>1</v>
      </c>
      <c r="G4">
        <v>25</v>
      </c>
      <c r="H4">
        <v>0</v>
      </c>
      <c r="I4">
        <v>0</v>
      </c>
      <c r="J4" t="b">
        <v>0</v>
      </c>
      <c r="K4" t="s">
        <v>19</v>
      </c>
      <c r="L4" t="s">
        <v>20</v>
      </c>
      <c r="M4">
        <v>739</v>
      </c>
      <c r="N4">
        <v>41</v>
      </c>
      <c r="O4">
        <v>0.50920245398773001</v>
      </c>
      <c r="P4">
        <v>21.94214044683218</v>
      </c>
      <c r="Q4" s="3">
        <f t="shared" si="0"/>
        <v>42.143389220040127</v>
      </c>
      <c r="R4">
        <v>0.87804878048780488</v>
      </c>
      <c r="S4">
        <v>21.222939115055841</v>
      </c>
      <c r="T4" s="3">
        <f>(R4*100)-0.4*S4</f>
        <v>79.315702402758163</v>
      </c>
      <c r="U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Janosch Hagenbeck</cp:lastModifiedBy>
  <dcterms:created xsi:type="dcterms:W3CDTF">2025-10-26T17:50:56Z</dcterms:created>
  <dcterms:modified xsi:type="dcterms:W3CDTF">2025-10-26T18:03:36Z</dcterms:modified>
</cp:coreProperties>
</file>